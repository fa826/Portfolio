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timaqayyum/Downloads/"/>
    </mc:Choice>
  </mc:AlternateContent>
  <xr:revisionPtr revIDLastSave="0" documentId="8_{1A81AE47-CAB0-924A-8E71-DD3B307C6340}" xr6:coauthVersionLast="47" xr6:coauthVersionMax="47" xr10:uidLastSave="{00000000-0000-0000-0000-000000000000}"/>
  <bookViews>
    <workbookView xWindow="0" yWindow="760" windowWidth="14340" windowHeight="17120" activeTab="4" xr2:uid="{00000000-000D-0000-FFFF-FFFF00000000}"/>
  </bookViews>
  <sheets>
    <sheet name="Assumptions" sheetId="1" r:id="rId1"/>
    <sheet name="Revenue" sheetId="2" r:id="rId2"/>
    <sheet name="Costs" sheetId="3" r:id="rId3"/>
    <sheet name="Summary" sheetId="4" r:id="rId4"/>
    <sheet name="Scenari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2" i="5"/>
  <c r="I2" i="5" s="1"/>
  <c r="D3" i="5"/>
  <c r="F3" i="5" s="1"/>
  <c r="D4" i="5"/>
  <c r="D2" i="5"/>
  <c r="F2" i="5" s="1"/>
  <c r="I4" i="5"/>
  <c r="H3" i="5"/>
  <c r="H4" i="5"/>
  <c r="H2" i="5"/>
  <c r="E3" i="5"/>
  <c r="E4" i="5"/>
  <c r="E2" i="5"/>
  <c r="B6" i="3"/>
  <c r="B3" i="4" s="1"/>
  <c r="B5" i="3"/>
  <c r="B4" i="3"/>
  <c r="B3" i="3"/>
  <c r="B2" i="3"/>
  <c r="B4" i="2"/>
  <c r="B2" i="2"/>
  <c r="I3" i="5"/>
  <c r="B3" i="2"/>
  <c r="J2" i="5" l="1"/>
  <c r="B2" i="4"/>
  <c r="J3" i="5"/>
  <c r="F4" i="5"/>
  <c r="J4" i="5" s="1"/>
  <c r="B4" i="4"/>
  <c r="B5" i="4"/>
</calcChain>
</file>

<file path=xl/sharedStrings.xml><?xml version="1.0" encoding="utf-8"?>
<sst xmlns="http://schemas.openxmlformats.org/spreadsheetml/2006/main" count="44" uniqueCount="35">
  <si>
    <t>Item</t>
  </si>
  <si>
    <t>Value</t>
  </si>
  <si>
    <t>Ticket Price</t>
  </si>
  <si>
    <t>Expected Attendance</t>
  </si>
  <si>
    <t>Number of Sponsors</t>
  </si>
  <si>
    <t>Avg Sponsor Amount</t>
  </si>
  <si>
    <t>Food per Attendee</t>
  </si>
  <si>
    <t>Marketing Budget</t>
  </si>
  <si>
    <t>Venue Cost</t>
  </si>
  <si>
    <t>Equipment Cost</t>
  </si>
  <si>
    <t>Description</t>
  </si>
  <si>
    <t>Amount</t>
  </si>
  <si>
    <t>Ticket Revenue</t>
  </si>
  <si>
    <t>Sponsorship Revenue</t>
  </si>
  <si>
    <t>Total Revenue</t>
  </si>
  <si>
    <t>Food (variable)</t>
  </si>
  <si>
    <t>Marketing (fixed)</t>
  </si>
  <si>
    <t>Venue (fixed)</t>
  </si>
  <si>
    <t>Equipment (fixed)</t>
  </si>
  <si>
    <t>Total Costs</t>
  </si>
  <si>
    <t>Metric</t>
  </si>
  <si>
    <t>Net Surplus (Revenue - Costs)</t>
  </si>
  <si>
    <t>Break-even Attendance (approx)</t>
  </si>
  <si>
    <t>Scenario</t>
  </si>
  <si>
    <t>Attendance</t>
  </si>
  <si>
    <t>Num_Sponsors</t>
  </si>
  <si>
    <t>Variable Costs</t>
  </si>
  <si>
    <t>Fixed Costs</t>
  </si>
  <si>
    <t>Net Surplus</t>
  </si>
  <si>
    <t>Conservative</t>
  </si>
  <si>
    <t>Expected</t>
  </si>
  <si>
    <t>Aggressive</t>
  </si>
  <si>
    <t>Ticket Revenue = Ticket Price * Attendance</t>
  </si>
  <si>
    <t>Sponsorship Revenue = Number of Sponsors * Average Sponsor Contribution</t>
  </si>
  <si>
    <t>Total Revenue = Ticket Revenue + Sponsorship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</si>
</sst>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30.6640625" customWidth="1"/>
    <col min="2" max="2" width="18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10</v>
      </c>
    </row>
    <row r="3" spans="1:2" x14ac:dyDescent="0.2">
      <c r="A3" t="s">
        <v>3</v>
      </c>
      <c r="B3">
        <v>60</v>
      </c>
    </row>
    <row r="4" spans="1:2" x14ac:dyDescent="0.2">
      <c r="A4" t="s">
        <v>4</v>
      </c>
      <c r="B4">
        <v>3</v>
      </c>
    </row>
    <row r="5" spans="1:2" x14ac:dyDescent="0.2">
      <c r="A5" t="s">
        <v>5</v>
      </c>
      <c r="B5">
        <v>500</v>
      </c>
    </row>
    <row r="6" spans="1:2" x14ac:dyDescent="0.2">
      <c r="A6" t="s">
        <v>6</v>
      </c>
      <c r="B6">
        <v>8</v>
      </c>
    </row>
    <row r="7" spans="1:2" x14ac:dyDescent="0.2">
      <c r="A7" t="s">
        <v>7</v>
      </c>
      <c r="B7">
        <v>300</v>
      </c>
    </row>
    <row r="8" spans="1:2" x14ac:dyDescent="0.2">
      <c r="A8" t="s">
        <v>8</v>
      </c>
      <c r="B8">
        <v>500</v>
      </c>
    </row>
    <row r="9" spans="1:2" x14ac:dyDescent="0.2">
      <c r="A9" t="s">
        <v>9</v>
      </c>
      <c r="B9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C14" sqref="C14"/>
    </sheetView>
  </sheetViews>
  <sheetFormatPr baseColWidth="10" defaultColWidth="8.83203125" defaultRowHeight="15" x14ac:dyDescent="0.2"/>
  <cols>
    <col min="1" max="1" width="30.6640625" customWidth="1"/>
    <col min="2" max="2" width="18.6640625" customWidth="1"/>
  </cols>
  <sheetData>
    <row r="1" spans="1:2" x14ac:dyDescent="0.2">
      <c r="A1" s="1" t="s">
        <v>10</v>
      </c>
      <c r="B1" s="1" t="s">
        <v>11</v>
      </c>
    </row>
    <row r="2" spans="1:2" x14ac:dyDescent="0.2">
      <c r="A2" t="s">
        <v>12</v>
      </c>
      <c r="B2">
        <f>Assumptions!B2 * Assumptions!B3</f>
        <v>600</v>
      </c>
    </row>
    <row r="3" spans="1:2" x14ac:dyDescent="0.2">
      <c r="A3" t="s">
        <v>13</v>
      </c>
      <c r="B3">
        <f>Assumptions!B3*Assumptions!B4</f>
        <v>180</v>
      </c>
    </row>
    <row r="4" spans="1:2" x14ac:dyDescent="0.2">
      <c r="A4" s="1" t="s">
        <v>14</v>
      </c>
      <c r="B4">
        <f>SUM(B2:B3)</f>
        <v>780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35.6640625" customWidth="1"/>
    <col min="2" max="2" width="18.6640625" customWidth="1"/>
  </cols>
  <sheetData>
    <row r="1" spans="1:2" x14ac:dyDescent="0.2">
      <c r="A1" s="1" t="s">
        <v>10</v>
      </c>
      <c r="B1" s="1" t="s">
        <v>11</v>
      </c>
    </row>
    <row r="2" spans="1:2" x14ac:dyDescent="0.2">
      <c r="A2" t="s">
        <v>15</v>
      </c>
      <c r="B2">
        <f>Assumptions!B6*Assumptions!B3</f>
        <v>480</v>
      </c>
    </row>
    <row r="3" spans="1:2" x14ac:dyDescent="0.2">
      <c r="A3" t="s">
        <v>16</v>
      </c>
      <c r="B3">
        <f>Assumptions!B7</f>
        <v>300</v>
      </c>
    </row>
    <row r="4" spans="1:2" x14ac:dyDescent="0.2">
      <c r="A4" t="s">
        <v>17</v>
      </c>
      <c r="B4">
        <f>Assumptions!B8</f>
        <v>500</v>
      </c>
    </row>
    <row r="5" spans="1:2" x14ac:dyDescent="0.2">
      <c r="A5" t="s">
        <v>18</v>
      </c>
      <c r="B5">
        <f>Assumptions!B9</f>
        <v>200</v>
      </c>
    </row>
    <row r="6" spans="1:2" x14ac:dyDescent="0.2">
      <c r="A6" s="1" t="s">
        <v>19</v>
      </c>
      <c r="B6">
        <f>SUM(B2:B5)</f>
        <v>1480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8.83203125" defaultRowHeight="15" x14ac:dyDescent="0.2"/>
  <cols>
    <col min="1" max="1" width="45.6640625" customWidth="1"/>
    <col min="2" max="2" width="18.6640625" customWidth="1"/>
  </cols>
  <sheetData>
    <row r="1" spans="1:2" x14ac:dyDescent="0.2">
      <c r="A1" s="1" t="s">
        <v>20</v>
      </c>
      <c r="B1" s="1" t="s">
        <v>1</v>
      </c>
    </row>
    <row r="2" spans="1:2" x14ac:dyDescent="0.2">
      <c r="A2" t="s">
        <v>14</v>
      </c>
      <c r="B2">
        <f>Revenue!B4</f>
        <v>780</v>
      </c>
    </row>
    <row r="3" spans="1:2" x14ac:dyDescent="0.2">
      <c r="A3" t="s">
        <v>19</v>
      </c>
      <c r="B3">
        <f>Costs!B6</f>
        <v>1480</v>
      </c>
    </row>
    <row r="4" spans="1:2" x14ac:dyDescent="0.2">
      <c r="A4" t="s">
        <v>21</v>
      </c>
      <c r="B4">
        <f>B2-B3</f>
        <v>-700</v>
      </c>
    </row>
    <row r="5" spans="1:2" x14ac:dyDescent="0.2">
      <c r="A5" t="s">
        <v>22</v>
      </c>
      <c r="B5" t="e">
        <f>CEILING((Costs!B6-Revenue!B3)/Assumptions!#REF!,1)</f>
        <v>#REF!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tabSelected="1" topLeftCell="E1" workbookViewId="0">
      <selection activeCell="F12" sqref="F12"/>
    </sheetView>
  </sheetViews>
  <sheetFormatPr baseColWidth="10" defaultColWidth="8.83203125" defaultRowHeight="15" x14ac:dyDescent="0.2"/>
  <cols>
    <col min="1" max="3" width="15.6640625" customWidth="1"/>
    <col min="4" max="4" width="34.1640625" customWidth="1"/>
    <col min="5" max="5" width="58" customWidth="1"/>
    <col min="6" max="6" width="41.5" customWidth="1"/>
    <col min="7" max="10" width="15.6640625" customWidth="1"/>
  </cols>
  <sheetData>
    <row r="1" spans="1:10" x14ac:dyDescent="0.2">
      <c r="A1" s="1" t="s">
        <v>23</v>
      </c>
      <c r="B1" s="1" t="s">
        <v>24</v>
      </c>
      <c r="C1" s="1" t="s">
        <v>25</v>
      </c>
      <c r="D1" s="1" t="s">
        <v>12</v>
      </c>
      <c r="E1" s="1" t="s">
        <v>13</v>
      </c>
      <c r="F1" s="1" t="s">
        <v>14</v>
      </c>
      <c r="G1" s="1" t="s">
        <v>26</v>
      </c>
      <c r="H1" s="1" t="s">
        <v>27</v>
      </c>
      <c r="I1" s="1" t="s">
        <v>19</v>
      </c>
      <c r="J1" s="1" t="s">
        <v>28</v>
      </c>
    </row>
    <row r="2" spans="1:10" x14ac:dyDescent="0.2">
      <c r="A2" t="s">
        <v>29</v>
      </c>
      <c r="B2">
        <v>40</v>
      </c>
      <c r="C2">
        <v>2</v>
      </c>
      <c r="D2">
        <f>Assumptions!$B$2 * B2</f>
        <v>400</v>
      </c>
      <c r="E2">
        <f>C2*Assumptions!$B$5</f>
        <v>1000</v>
      </c>
      <c r="F2">
        <f>D2+E2</f>
        <v>1400</v>
      </c>
      <c r="G2">
        <f>Assumptions!$B$6*B2</f>
        <v>320</v>
      </c>
      <c r="H2">
        <f>Assumptions!$B$6+Assumptions!B7+Assumptions!B8</f>
        <v>808</v>
      </c>
      <c r="I2">
        <f>G2+H2</f>
        <v>1128</v>
      </c>
      <c r="J2">
        <f>F2-I2</f>
        <v>272</v>
      </c>
    </row>
    <row r="3" spans="1:10" x14ac:dyDescent="0.2">
      <c r="A3" t="s">
        <v>30</v>
      </c>
      <c r="B3">
        <v>60</v>
      </c>
      <c r="C3">
        <v>3</v>
      </c>
      <c r="D3">
        <f>Assumptions!$B$2 * B3</f>
        <v>600</v>
      </c>
      <c r="E3">
        <f>C3*Assumptions!$B$5</f>
        <v>1500</v>
      </c>
      <c r="F3">
        <f>D3+E3</f>
        <v>2100</v>
      </c>
      <c r="G3">
        <f>Assumptions!$B$6*B3</f>
        <v>480</v>
      </c>
      <c r="H3">
        <f>Assumptions!$B$6+Assumptions!B8+Assumptions!B9</f>
        <v>708</v>
      </c>
      <c r="I3">
        <f>G3+H3</f>
        <v>1188</v>
      </c>
      <c r="J3">
        <f>F3-I3</f>
        <v>912</v>
      </c>
    </row>
    <row r="4" spans="1:10" x14ac:dyDescent="0.2">
      <c r="A4" t="s">
        <v>31</v>
      </c>
      <c r="B4">
        <v>80</v>
      </c>
      <c r="C4">
        <v>4</v>
      </c>
      <c r="D4">
        <f>Assumptions!$B$2 * B4</f>
        <v>800</v>
      </c>
      <c r="E4">
        <f>C4*Assumptions!$B$5</f>
        <v>2000</v>
      </c>
      <c r="F4">
        <f>D4+E4</f>
        <v>2800</v>
      </c>
      <c r="G4">
        <f>Assumptions!$B$6*B4</f>
        <v>640</v>
      </c>
      <c r="H4">
        <f>Assumptions!$B$6+Assumptions!B9+Assumptions!B10</f>
        <v>208</v>
      </c>
      <c r="I4">
        <f>G4+H4</f>
        <v>848</v>
      </c>
      <c r="J4">
        <f>F4-I4</f>
        <v>1952</v>
      </c>
    </row>
    <row r="7" spans="1:10" x14ac:dyDescent="0.2">
      <c r="D7" t="s">
        <v>32</v>
      </c>
      <c r="E7" t="s">
        <v>33</v>
      </c>
      <c r="F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Revenue</vt:lpstr>
      <vt:lpstr>Costs</vt:lpstr>
      <vt:lpstr>Summary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Fatima Akhtar Abdul Qayyum</cp:lastModifiedBy>
  <dcterms:created xsi:type="dcterms:W3CDTF">2026-03-04T22:58:25Z</dcterms:created>
  <dcterms:modified xsi:type="dcterms:W3CDTF">2026-03-05T19:43:38Z</dcterms:modified>
</cp:coreProperties>
</file>